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dityagroup-my.sharepoint.com/personal/24b11ds134_adityauniversity_in/Documents/"/>
    </mc:Choice>
  </mc:AlternateContent>
  <xr:revisionPtr revIDLastSave="65" documentId="8_{D81D093F-5408-4E15-853F-7171BE3826AB}" xr6:coauthVersionLast="47" xr6:coauthVersionMax="47" xr10:uidLastSave="{BBEB1513-D438-4C2B-B921-8A09283B99CF}"/>
  <bookViews>
    <workbookView xWindow="11424" yWindow="0" windowWidth="11712" windowHeight="12336" firstSheet="2" activeTab="5" xr2:uid="{A3D7A0C3-0A48-444F-A10C-3D0607509313}"/>
  </bookViews>
  <sheets>
    <sheet name="Sheet2" sheetId="2" r:id="rId1"/>
    <sheet name="Sheet3" sheetId="3" r:id="rId2"/>
    <sheet name="Sheet4" sheetId="4" r:id="rId3"/>
    <sheet name="Sheet5" sheetId="5" r:id="rId4"/>
    <sheet name="Sheet1" sheetId="1" r:id="rId5"/>
    <sheet name="Insights" sheetId="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F19" i="1"/>
  <c r="F18" i="1"/>
  <c r="F17" i="1"/>
  <c r="H3" i="1"/>
  <c r="H4" i="1"/>
  <c r="H5" i="1"/>
  <c r="H6" i="1"/>
  <c r="H7" i="1"/>
  <c r="H8" i="1"/>
  <c r="H9" i="1"/>
  <c r="H10" i="1"/>
  <c r="H11" i="1"/>
  <c r="H12" i="1"/>
  <c r="H2" i="1"/>
</calcChain>
</file>

<file path=xl/sharedStrings.xml><?xml version="1.0" encoding="utf-8"?>
<sst xmlns="http://schemas.openxmlformats.org/spreadsheetml/2006/main" count="93" uniqueCount="49">
  <si>
    <t>Date</t>
  </si>
  <si>
    <t>Region</t>
  </si>
  <si>
    <t>Product</t>
  </si>
  <si>
    <t>Category</t>
  </si>
  <si>
    <t>Quantity</t>
  </si>
  <si>
    <t>Price</t>
  </si>
  <si>
    <t>North</t>
  </si>
  <si>
    <t>South</t>
  </si>
  <si>
    <t>East</t>
  </si>
  <si>
    <t>West</t>
  </si>
  <si>
    <t>Laptop</t>
  </si>
  <si>
    <t>Phone</t>
  </si>
  <si>
    <t>Chair</t>
  </si>
  <si>
    <t>Table</t>
  </si>
  <si>
    <t>Headphones</t>
  </si>
  <si>
    <t>Sofa</t>
  </si>
  <si>
    <t>Charger</t>
  </si>
  <si>
    <t>Tablet</t>
  </si>
  <si>
    <t>Desk</t>
  </si>
  <si>
    <t>Electronics</t>
  </si>
  <si>
    <t>Furniture</t>
  </si>
  <si>
    <t>Accessories</t>
  </si>
  <si>
    <t>Revenue</t>
  </si>
  <si>
    <t>TOTAL SALES SUMMARY</t>
  </si>
  <si>
    <t>Total Revenue</t>
  </si>
  <si>
    <t>Total Orders</t>
  </si>
  <si>
    <t>Total Quantity Sold</t>
  </si>
  <si>
    <t>Row Labels</t>
  </si>
  <si>
    <t>Grand Total</t>
  </si>
  <si>
    <t>Sum of Revenue</t>
  </si>
  <si>
    <t>Sum of Quantity</t>
  </si>
  <si>
    <t>Order_ID</t>
  </si>
  <si>
    <t>Business Sales Performance Analysis – Key Insights</t>
  </si>
  <si>
    <t>A</t>
  </si>
  <si>
    <t>B</t>
  </si>
  <si>
    <t>Analysis</t>
  </si>
  <si>
    <t>Revenue by region</t>
  </si>
  <si>
    <t>Top Selling Product</t>
  </si>
  <si>
    <t>Category Performance</t>
  </si>
  <si>
    <t>Sales Trend</t>
  </si>
  <si>
    <t>Insight</t>
  </si>
  <si>
    <t>South region generates the highest revenue compared to other regions</t>
  </si>
  <si>
    <t>Phone is the most sold product based on quantity</t>
  </si>
  <si>
    <t>Electronics contribute the highest revenue share in the business</t>
  </si>
  <si>
    <t>Sales fluctuate overtime but electronics transactions drive revenue growth</t>
  </si>
  <si>
    <t>Bussiness Recommendations</t>
  </si>
  <si>
    <t>Increase marketing efforts for electronics products since they generate the highest revenue</t>
  </si>
  <si>
    <t>Focus on expanding sales in high-performing regions like South.</t>
  </si>
  <si>
    <t>Offer bundle discounts for accessories to increase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</si>
</sst>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[Task1.xlsx]Sheet2!PivotTable1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Region</a:t>
            </a:r>
            <a:endParaRPr lang="en-US"/>
          </a:p>
        </c:rich>
      </c:tx>
      <c:layout>
        <c:manualLayout>
          <c:xMode val="edge"/>
          <c:yMode val="edge"/>
          <c:x val="0.48868044619422574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53000</c:v>
                </c:pt>
                <c:pt idx="1">
                  <c:v>113000</c:v>
                </c:pt>
                <c:pt idx="2">
                  <c:v>170000</c:v>
                </c:pt>
                <c:pt idx="3">
                  <c:v>79000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E-4715-91A4-39DDBA807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4924816"/>
        <c:axId val="1334926256"/>
      </c:barChart>
      <c:catAx>
        <c:axId val="1334924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926256"/>
        <c:crosses val="autoZero"/>
        <c:auto val="1"/>
        <c:lblAlgn val="ctr"/>
        <c:lblOffset val="100"/>
        <c:noMultiLvlLbl val="0"/>
      </c:catAx>
      <c:valAx>
        <c:axId val="133492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92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Sheet3!$A$4:$A$13</c:f>
              <c:strCache>
                <c:ptCount val="9"/>
                <c:pt idx="0">
                  <c:v>Chair</c:v>
                </c:pt>
                <c:pt idx="1">
                  <c:v>Charger</c:v>
                </c:pt>
                <c:pt idx="2">
                  <c:v>Desk</c:v>
                </c:pt>
                <c:pt idx="3">
                  <c:v>Headphones</c:v>
                </c:pt>
                <c:pt idx="4">
                  <c:v>Laptop</c:v>
                </c:pt>
                <c:pt idx="5">
                  <c:v>Phone</c:v>
                </c:pt>
                <c:pt idx="6">
                  <c:v>Sofa</c:v>
                </c:pt>
                <c:pt idx="7">
                  <c:v>Table</c:v>
                </c:pt>
                <c:pt idx="8">
                  <c:v>Tablet</c:v>
                </c:pt>
              </c:strCache>
            </c:strRef>
          </c:cat>
          <c:val>
            <c:numRef>
              <c:f>Sheet3!$B$4:$B$13</c:f>
              <c:numCache>
                <c:formatCode>General</c:formatCode>
                <c:ptCount val="9"/>
                <c:pt idx="0">
                  <c:v>4</c:v>
                </c:pt>
                <c:pt idx="1">
                  <c:v>6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7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C-435A-BFCF-1668718F0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89532032"/>
        <c:axId val="1289530592"/>
      </c:barChart>
      <c:catAx>
        <c:axId val="128953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30592"/>
        <c:crosses val="autoZero"/>
        <c:auto val="1"/>
        <c:lblAlgn val="ctr"/>
        <c:lblOffset val="100"/>
        <c:noMultiLvlLbl val="0"/>
      </c:catAx>
      <c:valAx>
        <c:axId val="128953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3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46-4A6C-A87A-27F28420C1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46-4A6C-A87A-27F28420C1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C46-4A6C-A87A-27F28420C1E2}"/>
              </c:ext>
            </c:extLst>
          </c:dPt>
          <c:cat>
            <c:strRef>
              <c:f>Sheet4!$A$4:$A$7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13000</c:v>
                </c:pt>
                <c:pt idx="1">
                  <c:v>350000</c:v>
                </c:pt>
                <c:pt idx="2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3-41BA-B121-04AFF5D67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Trend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Sheet5!$A$4:$A$16</c:f>
              <c:strCache>
                <c:ptCount val="12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  <c:pt idx="5">
                  <c:v>06-01-2025</c:v>
                </c:pt>
                <c:pt idx="6">
                  <c:v>07-01-2025</c:v>
                </c:pt>
                <c:pt idx="7">
                  <c:v>08-01-2025</c:v>
                </c:pt>
                <c:pt idx="8">
                  <c:v>09-01-2025</c:v>
                </c:pt>
                <c:pt idx="9">
                  <c:v>10-01-2025</c:v>
                </c:pt>
                <c:pt idx="10">
                  <c:v>11-01-2025</c:v>
                </c:pt>
                <c:pt idx="11">
                  <c:v>12-01-2025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100000</c:v>
                </c:pt>
                <c:pt idx="1">
                  <c:v>60000</c:v>
                </c:pt>
                <c:pt idx="2">
                  <c:v>12000</c:v>
                </c:pt>
                <c:pt idx="3">
                  <c:v>14000</c:v>
                </c:pt>
                <c:pt idx="4">
                  <c:v>10000</c:v>
                </c:pt>
                <c:pt idx="5">
                  <c:v>50000</c:v>
                </c:pt>
                <c:pt idx="6">
                  <c:v>40000</c:v>
                </c:pt>
                <c:pt idx="7">
                  <c:v>25000</c:v>
                </c:pt>
                <c:pt idx="8">
                  <c:v>3000</c:v>
                </c:pt>
                <c:pt idx="9">
                  <c:v>60000</c:v>
                </c:pt>
                <c:pt idx="10">
                  <c:v>1000</c:v>
                </c:pt>
                <c:pt idx="11">
                  <c:v>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779-8D0D-A89ABD347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6160560"/>
        <c:axId val="1286161520"/>
      </c:lineChart>
      <c:catAx>
        <c:axId val="128616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161520"/>
        <c:crosses val="autoZero"/>
        <c:auto val="1"/>
        <c:lblAlgn val="ctr"/>
        <c:lblOffset val="100"/>
        <c:noMultiLvlLbl val="0"/>
      </c:catAx>
      <c:valAx>
        <c:axId val="128616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16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1</xdr:row>
      <xdr:rowOff>171450</xdr:rowOff>
    </xdr:from>
    <xdr:to>
      <xdr:col>11</xdr:col>
      <xdr:colOff>121920</xdr:colOff>
      <xdr:row>16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3E17F0-5B16-E719-119D-EC906078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365766</xdr:colOff>
      <xdr:row>2</xdr:row>
      <xdr:rowOff>148590</xdr:rowOff>
    </xdr:from>
    <xdr:to>
      <xdr:col>12</xdr:col>
      <xdr:colOff>114306</xdr:colOff>
      <xdr:row>17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E2A4C9-6365-1F47-9BE0-DD50A02BF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182886</xdr:colOff>
      <xdr:row>1</xdr:row>
      <xdr:rowOff>125730</xdr:rowOff>
    </xdr:from>
    <xdr:to>
      <xdr:col>10</xdr:col>
      <xdr:colOff>541026</xdr:colOff>
      <xdr:row>16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217E21-60CC-4FD3-FBFE-013A9BCAA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541026</xdr:colOff>
      <xdr:row>2</xdr:row>
      <xdr:rowOff>140970</xdr:rowOff>
    </xdr:from>
    <xdr:to>
      <xdr:col>11</xdr:col>
      <xdr:colOff>289566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AE5C94-F7C4-5304-DDA0-6574B381D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kata deepthi" refreshedDate="46094.662493981479" createdVersion="8" refreshedVersion="8" minRefreshableVersion="3" recordCount="12" xr:uid="{96D97A2F-DA53-45B7-A5D1-AAD00876F97A}">
  <cacheSource type="worksheet">
    <worksheetSource ref="A1:H13" sheet="Sheet1"/>
  </cacheSource>
  <cacheFields count="8">
    <cacheField name="Order_id" numFmtId="0">
      <sharedItems containsSemiMixedTypes="0" containsString="0" containsNumber="1" containsInteger="1" minValue="1001" maxValue="1012"/>
    </cacheField>
    <cacheField name="Date" numFmtId="14">
      <sharedItems containsSemiMixedTypes="0" containsNonDate="0" containsDate="1" containsString="0" minDate="2025-01-01T00:00:00" maxDate="2025-01-13T00:00:00" count="12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9">
        <s v="Laptop"/>
        <s v="Phone"/>
        <s v="Chair"/>
        <s v="Table"/>
        <s v="Headphones"/>
        <s v="Sofa"/>
        <s v="Charger"/>
        <s v="Tablet"/>
        <s v="Desk"/>
      </sharedItems>
    </cacheField>
    <cacheField name="Category" numFmtId="0">
      <sharedItems count="3">
        <s v="Electronics"/>
        <s v="Furniture"/>
        <s v="Accessories"/>
      </sharedItems>
    </cacheField>
    <cacheField name="Quantity" numFmtId="0">
      <sharedItems containsSemiMixedTypes="0" containsString="0" containsNumber="1" containsInteger="1" minValue="1" maxValue="6"/>
    </cacheField>
    <cacheField name="Price" numFmtId="0">
      <sharedItems containsSemiMixedTypes="0" containsString="0" containsNumber="1" containsInteger="1" minValue="500" maxValue="50000"/>
    </cacheField>
    <cacheField name="Revenue" numFmtId="0">
      <sharedItems containsSemiMixedTypes="0" containsString="0" containsNumber="1" containsInteger="1" minValue="1000" maxValue="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001"/>
    <x v="0"/>
    <x v="0"/>
    <x v="0"/>
    <x v="0"/>
    <n v="2"/>
    <n v="50000"/>
    <n v="100000"/>
  </r>
  <r>
    <n v="1002"/>
    <x v="1"/>
    <x v="1"/>
    <x v="1"/>
    <x v="0"/>
    <n v="3"/>
    <n v="20000"/>
    <n v="60000"/>
  </r>
  <r>
    <n v="1003"/>
    <x v="2"/>
    <x v="2"/>
    <x v="2"/>
    <x v="1"/>
    <n v="4"/>
    <n v="3000"/>
    <n v="12000"/>
  </r>
  <r>
    <n v="1004"/>
    <x v="3"/>
    <x v="3"/>
    <x v="3"/>
    <x v="1"/>
    <n v="2"/>
    <n v="7000"/>
    <n v="14000"/>
  </r>
  <r>
    <n v="1005"/>
    <x v="4"/>
    <x v="0"/>
    <x v="4"/>
    <x v="2"/>
    <n v="5"/>
    <n v="2000"/>
    <n v="10000"/>
  </r>
  <r>
    <n v="1006"/>
    <x v="5"/>
    <x v="1"/>
    <x v="0"/>
    <x v="0"/>
    <n v="1"/>
    <n v="50000"/>
    <n v="50000"/>
  </r>
  <r>
    <n v="1007"/>
    <x v="6"/>
    <x v="2"/>
    <x v="1"/>
    <x v="0"/>
    <n v="2"/>
    <n v="20000"/>
    <n v="40000"/>
  </r>
  <r>
    <n v="1008"/>
    <x v="7"/>
    <x v="3"/>
    <x v="5"/>
    <x v="1"/>
    <n v="1"/>
    <n v="25000"/>
    <n v="25000"/>
  </r>
  <r>
    <n v="1009"/>
    <x v="8"/>
    <x v="0"/>
    <x v="6"/>
    <x v="2"/>
    <n v="6"/>
    <n v="500"/>
    <n v="3000"/>
  </r>
  <r>
    <n v="1010"/>
    <x v="9"/>
    <x v="1"/>
    <x v="7"/>
    <x v="0"/>
    <n v="2"/>
    <n v="30000"/>
    <n v="60000"/>
  </r>
  <r>
    <n v="1011"/>
    <x v="10"/>
    <x v="2"/>
    <x v="8"/>
    <x v="1"/>
    <n v="1"/>
    <n v="1000"/>
    <n v="1000"/>
  </r>
  <r>
    <n v="1012"/>
    <x v="11"/>
    <x v="3"/>
    <x v="1"/>
    <x v="0"/>
    <n v="2"/>
    <n v="20000"/>
    <n v="4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81F78-5680-4769-ADC1-0BD8B8D9922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8" firstHeaderRow="1" firstDataRow="1" firstDataCol="1"/>
  <pivotFields count="8">
    <pivotField showAll="0"/>
    <pivotField numFmtId="1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F0850-4C87-4ABE-B04D-6525406A26C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3" firstHeaderRow="1" firstDataRow="1" firstDataCol="1"/>
  <pivotFields count="8">
    <pivotField showAll="0"/>
    <pivotField numFmtId="14" showAll="0"/>
    <pivotField showAll="0"/>
    <pivotField axis="axisRow" showAll="0">
      <items count="10">
        <item x="2"/>
        <item x="6"/>
        <item x="8"/>
        <item x="4"/>
        <item x="0"/>
        <item x="1"/>
        <item x="5"/>
        <item x="3"/>
        <item x="7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DC360-55B1-4370-86BB-FF2E8204098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92932-0B0A-4CF5-8B9D-70B4BEC74E6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8">
    <pivotField showAll="0"/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2D11-0B09-4924-A169-3FE7600C23BC}">
  <dimension ref="A3:B8"/>
  <sheetViews>
    <sheetView workbookViewId="0">
      <selection activeCell="H26" sqref="H26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4" t="s">
        <v>27</v>
      </c>
      <c r="B3" t="s">
        <v>29</v>
      </c>
    </row>
    <row r="4" spans="1:2" x14ac:dyDescent="0.3">
      <c r="A4" s="5" t="s">
        <v>8</v>
      </c>
      <c r="B4">
        <v>53000</v>
      </c>
    </row>
    <row r="5" spans="1:2" x14ac:dyDescent="0.3">
      <c r="A5" s="5" t="s">
        <v>6</v>
      </c>
      <c r="B5">
        <v>113000</v>
      </c>
    </row>
    <row r="6" spans="1:2" x14ac:dyDescent="0.3">
      <c r="A6" s="5" t="s">
        <v>7</v>
      </c>
      <c r="B6">
        <v>170000</v>
      </c>
    </row>
    <row r="7" spans="1:2" x14ac:dyDescent="0.3">
      <c r="A7" s="5" t="s">
        <v>9</v>
      </c>
      <c r="B7">
        <v>79000</v>
      </c>
    </row>
    <row r="8" spans="1:2" x14ac:dyDescent="0.3">
      <c r="A8" s="5" t="s">
        <v>28</v>
      </c>
      <c r="B8">
        <v>415000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F028-43C9-4CA2-87A3-FA8EEC2B0683}">
  <dimension ref="A3:B13"/>
  <sheetViews>
    <sheetView workbookViewId="0">
      <selection activeCell="F23" sqref="F23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4" t="s">
        <v>27</v>
      </c>
      <c r="B3" t="s">
        <v>30</v>
      </c>
    </row>
    <row r="4" spans="1:2" x14ac:dyDescent="0.3">
      <c r="A4" s="5" t="s">
        <v>12</v>
      </c>
      <c r="B4">
        <v>4</v>
      </c>
    </row>
    <row r="5" spans="1:2" x14ac:dyDescent="0.3">
      <c r="A5" s="5" t="s">
        <v>16</v>
      </c>
      <c r="B5">
        <v>6</v>
      </c>
    </row>
    <row r="6" spans="1:2" x14ac:dyDescent="0.3">
      <c r="A6" s="5" t="s">
        <v>18</v>
      </c>
      <c r="B6">
        <v>1</v>
      </c>
    </row>
    <row r="7" spans="1:2" x14ac:dyDescent="0.3">
      <c r="A7" s="5" t="s">
        <v>14</v>
      </c>
      <c r="B7">
        <v>5</v>
      </c>
    </row>
    <row r="8" spans="1:2" x14ac:dyDescent="0.3">
      <c r="A8" s="5" t="s">
        <v>10</v>
      </c>
      <c r="B8">
        <v>3</v>
      </c>
    </row>
    <row r="9" spans="1:2" x14ac:dyDescent="0.3">
      <c r="A9" s="5" t="s">
        <v>11</v>
      </c>
      <c r="B9">
        <v>7</v>
      </c>
    </row>
    <row r="10" spans="1:2" x14ac:dyDescent="0.3">
      <c r="A10" s="5" t="s">
        <v>15</v>
      </c>
      <c r="B10">
        <v>1</v>
      </c>
    </row>
    <row r="11" spans="1:2" x14ac:dyDescent="0.3">
      <c r="A11" s="5" t="s">
        <v>13</v>
      </c>
      <c r="B11">
        <v>2</v>
      </c>
    </row>
    <row r="12" spans="1:2" x14ac:dyDescent="0.3">
      <c r="A12" s="5" t="s">
        <v>17</v>
      </c>
      <c r="B12">
        <v>2</v>
      </c>
    </row>
    <row r="13" spans="1:2" x14ac:dyDescent="0.3">
      <c r="A13" s="5" t="s">
        <v>28</v>
      </c>
      <c r="B13">
        <v>31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B477-4967-4056-9D41-687D81824DDA}">
  <dimension ref="A3:B7"/>
  <sheetViews>
    <sheetView topLeftCell="B1" workbookViewId="0">
      <selection activeCell="D20" sqref="D20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4" t="s">
        <v>27</v>
      </c>
      <c r="B3" t="s">
        <v>29</v>
      </c>
    </row>
    <row r="4" spans="1:2" x14ac:dyDescent="0.3">
      <c r="A4" s="5" t="s">
        <v>21</v>
      </c>
      <c r="B4">
        <v>13000</v>
      </c>
    </row>
    <row r="5" spans="1:2" x14ac:dyDescent="0.3">
      <c r="A5" s="5" t="s">
        <v>19</v>
      </c>
      <c r="B5">
        <v>350000</v>
      </c>
    </row>
    <row r="6" spans="1:2" x14ac:dyDescent="0.3">
      <c r="A6" s="5" t="s">
        <v>20</v>
      </c>
      <c r="B6">
        <v>52000</v>
      </c>
    </row>
    <row r="7" spans="1:2" x14ac:dyDescent="0.3">
      <c r="A7" s="5" t="s">
        <v>28</v>
      </c>
      <c r="B7">
        <v>415000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9B9E-33DB-4D6F-80DC-8B14ECEB6223}">
  <dimension ref="A3:B16"/>
  <sheetViews>
    <sheetView workbookViewId="0">
      <selection activeCell="B22" sqref="B22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4" t="s">
        <v>27</v>
      </c>
      <c r="B3" t="s">
        <v>29</v>
      </c>
    </row>
    <row r="4" spans="1:2" x14ac:dyDescent="0.3">
      <c r="A4" s="6">
        <v>45658</v>
      </c>
      <c r="B4">
        <v>100000</v>
      </c>
    </row>
    <row r="5" spans="1:2" x14ac:dyDescent="0.3">
      <c r="A5" s="6">
        <v>45659</v>
      </c>
      <c r="B5">
        <v>60000</v>
      </c>
    </row>
    <row r="6" spans="1:2" x14ac:dyDescent="0.3">
      <c r="A6" s="6">
        <v>45660</v>
      </c>
      <c r="B6">
        <v>12000</v>
      </c>
    </row>
    <row r="7" spans="1:2" x14ac:dyDescent="0.3">
      <c r="A7" s="6">
        <v>45661</v>
      </c>
      <c r="B7">
        <v>14000</v>
      </c>
    </row>
    <row r="8" spans="1:2" x14ac:dyDescent="0.3">
      <c r="A8" s="6">
        <v>45662</v>
      </c>
      <c r="B8">
        <v>10000</v>
      </c>
    </row>
    <row r="9" spans="1:2" x14ac:dyDescent="0.3">
      <c r="A9" s="6">
        <v>45663</v>
      </c>
      <c r="B9">
        <v>50000</v>
      </c>
    </row>
    <row r="10" spans="1:2" x14ac:dyDescent="0.3">
      <c r="A10" s="6">
        <v>45664</v>
      </c>
      <c r="B10">
        <v>40000</v>
      </c>
    </row>
    <row r="11" spans="1:2" x14ac:dyDescent="0.3">
      <c r="A11" s="6">
        <v>45665</v>
      </c>
      <c r="B11">
        <v>25000</v>
      </c>
    </row>
    <row r="12" spans="1:2" x14ac:dyDescent="0.3">
      <c r="A12" s="6">
        <v>45666</v>
      </c>
      <c r="B12">
        <v>3000</v>
      </c>
    </row>
    <row r="13" spans="1:2" x14ac:dyDescent="0.3">
      <c r="A13" s="6">
        <v>45667</v>
      </c>
      <c r="B13">
        <v>60000</v>
      </c>
    </row>
    <row r="14" spans="1:2" x14ac:dyDescent="0.3">
      <c r="A14" s="6">
        <v>45668</v>
      </c>
      <c r="B14">
        <v>1000</v>
      </c>
    </row>
    <row r="15" spans="1:2" x14ac:dyDescent="0.3">
      <c r="A15" s="6">
        <v>45669</v>
      </c>
      <c r="B15">
        <v>40000</v>
      </c>
    </row>
    <row r="16" spans="1:2" x14ac:dyDescent="0.3">
      <c r="A16" s="6" t="s">
        <v>28</v>
      </c>
      <c r="B16">
        <v>415000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C7BF-2F4D-48B6-A569-A23A5DAF8D34}">
  <dimension ref="A1:H19"/>
  <sheetViews>
    <sheetView workbookViewId="0">
      <selection activeCell="K4" sqref="K4"/>
    </sheetView>
  </sheetViews>
  <sheetFormatPr defaultRowHeight="14.4" x14ac:dyDescent="0.3"/>
  <cols>
    <col min="2" max="2" width="10.33203125" bestFit="1" customWidth="1"/>
  </cols>
  <sheetData>
    <row r="1" spans="1:8" x14ac:dyDescent="0.3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22</v>
      </c>
    </row>
    <row r="2" spans="1:8" x14ac:dyDescent="0.3">
      <c r="A2" s="2">
        <v>1001</v>
      </c>
      <c r="B2" s="3">
        <v>45658</v>
      </c>
      <c r="C2" s="2" t="s">
        <v>6</v>
      </c>
      <c r="D2" s="2" t="s">
        <v>10</v>
      </c>
      <c r="E2" s="2" t="s">
        <v>19</v>
      </c>
      <c r="F2" s="2">
        <v>2</v>
      </c>
      <c r="G2" s="2">
        <v>50000</v>
      </c>
      <c r="H2" s="2">
        <f>F2*G2</f>
        <v>100000</v>
      </c>
    </row>
    <row r="3" spans="1:8" x14ac:dyDescent="0.3">
      <c r="A3" s="2">
        <v>1002</v>
      </c>
      <c r="B3" s="3">
        <v>45659</v>
      </c>
      <c r="C3" s="2" t="s">
        <v>7</v>
      </c>
      <c r="D3" s="2" t="s">
        <v>11</v>
      </c>
      <c r="E3" s="2" t="s">
        <v>19</v>
      </c>
      <c r="F3" s="2">
        <v>3</v>
      </c>
      <c r="G3" s="2">
        <v>20000</v>
      </c>
      <c r="H3" s="2">
        <f t="shared" ref="H3:H13" si="0">F3*G3</f>
        <v>60000</v>
      </c>
    </row>
    <row r="4" spans="1:8" x14ac:dyDescent="0.3">
      <c r="A4" s="2">
        <v>1003</v>
      </c>
      <c r="B4" s="3">
        <v>45660</v>
      </c>
      <c r="C4" s="2" t="s">
        <v>8</v>
      </c>
      <c r="D4" s="2" t="s">
        <v>12</v>
      </c>
      <c r="E4" s="2" t="s">
        <v>20</v>
      </c>
      <c r="F4" s="2">
        <v>4</v>
      </c>
      <c r="G4" s="2">
        <v>3000</v>
      </c>
      <c r="H4" s="2">
        <f t="shared" si="0"/>
        <v>12000</v>
      </c>
    </row>
    <row r="5" spans="1:8" x14ac:dyDescent="0.3">
      <c r="A5" s="2">
        <v>1004</v>
      </c>
      <c r="B5" s="3">
        <v>45661</v>
      </c>
      <c r="C5" s="2" t="s">
        <v>9</v>
      </c>
      <c r="D5" s="2" t="s">
        <v>13</v>
      </c>
      <c r="E5" s="2" t="s">
        <v>20</v>
      </c>
      <c r="F5" s="2">
        <v>2</v>
      </c>
      <c r="G5" s="2">
        <v>7000</v>
      </c>
      <c r="H5" s="2">
        <f t="shared" si="0"/>
        <v>14000</v>
      </c>
    </row>
    <row r="6" spans="1:8" x14ac:dyDescent="0.3">
      <c r="A6" s="2">
        <v>1005</v>
      </c>
      <c r="B6" s="3">
        <v>45662</v>
      </c>
      <c r="C6" s="2" t="s">
        <v>6</v>
      </c>
      <c r="D6" s="2" t="s">
        <v>14</v>
      </c>
      <c r="E6" s="2" t="s">
        <v>21</v>
      </c>
      <c r="F6" s="2">
        <v>5</v>
      </c>
      <c r="G6" s="2">
        <v>2000</v>
      </c>
      <c r="H6" s="2">
        <f t="shared" si="0"/>
        <v>10000</v>
      </c>
    </row>
    <row r="7" spans="1:8" x14ac:dyDescent="0.3">
      <c r="A7" s="2">
        <v>1006</v>
      </c>
      <c r="B7" s="3">
        <v>45663</v>
      </c>
      <c r="C7" s="2" t="s">
        <v>7</v>
      </c>
      <c r="D7" s="2" t="s">
        <v>10</v>
      </c>
      <c r="E7" s="2" t="s">
        <v>19</v>
      </c>
      <c r="F7" s="2">
        <v>1</v>
      </c>
      <c r="G7" s="2">
        <v>50000</v>
      </c>
      <c r="H7" s="2">
        <f t="shared" si="0"/>
        <v>50000</v>
      </c>
    </row>
    <row r="8" spans="1:8" x14ac:dyDescent="0.3">
      <c r="A8" s="2">
        <v>1007</v>
      </c>
      <c r="B8" s="3">
        <v>45664</v>
      </c>
      <c r="C8" s="2" t="s">
        <v>8</v>
      </c>
      <c r="D8" s="2" t="s">
        <v>11</v>
      </c>
      <c r="E8" s="2" t="s">
        <v>19</v>
      </c>
      <c r="F8" s="2">
        <v>2</v>
      </c>
      <c r="G8" s="2">
        <v>20000</v>
      </c>
      <c r="H8" s="2">
        <f t="shared" si="0"/>
        <v>40000</v>
      </c>
    </row>
    <row r="9" spans="1:8" x14ac:dyDescent="0.3">
      <c r="A9" s="2">
        <v>1008</v>
      </c>
      <c r="B9" s="3">
        <v>45665</v>
      </c>
      <c r="C9" s="2" t="s">
        <v>9</v>
      </c>
      <c r="D9" s="2" t="s">
        <v>15</v>
      </c>
      <c r="E9" s="2" t="s">
        <v>20</v>
      </c>
      <c r="F9" s="2">
        <v>1</v>
      </c>
      <c r="G9" s="2">
        <v>25000</v>
      </c>
      <c r="H9" s="2">
        <f t="shared" si="0"/>
        <v>25000</v>
      </c>
    </row>
    <row r="10" spans="1:8" x14ac:dyDescent="0.3">
      <c r="A10" s="2">
        <v>1009</v>
      </c>
      <c r="B10" s="3">
        <v>45666</v>
      </c>
      <c r="C10" s="2" t="s">
        <v>6</v>
      </c>
      <c r="D10" s="2" t="s">
        <v>16</v>
      </c>
      <c r="E10" s="2" t="s">
        <v>21</v>
      </c>
      <c r="F10" s="2">
        <v>6</v>
      </c>
      <c r="G10" s="2">
        <v>500</v>
      </c>
      <c r="H10" s="2">
        <f t="shared" si="0"/>
        <v>3000</v>
      </c>
    </row>
    <row r="11" spans="1:8" x14ac:dyDescent="0.3">
      <c r="A11" s="2">
        <v>1010</v>
      </c>
      <c r="B11" s="3">
        <v>45667</v>
      </c>
      <c r="C11" s="2" t="s">
        <v>7</v>
      </c>
      <c r="D11" s="2" t="s">
        <v>17</v>
      </c>
      <c r="E11" s="2" t="s">
        <v>19</v>
      </c>
      <c r="F11" s="2">
        <v>2</v>
      </c>
      <c r="G11" s="2">
        <v>30000</v>
      </c>
      <c r="H11" s="2">
        <f t="shared" si="0"/>
        <v>60000</v>
      </c>
    </row>
    <row r="12" spans="1:8" x14ac:dyDescent="0.3">
      <c r="A12" s="2">
        <v>1011</v>
      </c>
      <c r="B12" s="3">
        <v>45668</v>
      </c>
      <c r="C12" s="2" t="s">
        <v>8</v>
      </c>
      <c r="D12" s="2" t="s">
        <v>18</v>
      </c>
      <c r="E12" s="2" t="s">
        <v>20</v>
      </c>
      <c r="F12" s="2">
        <v>1</v>
      </c>
      <c r="G12" s="2">
        <v>1000</v>
      </c>
      <c r="H12" s="2">
        <f t="shared" si="0"/>
        <v>1000</v>
      </c>
    </row>
    <row r="13" spans="1:8" x14ac:dyDescent="0.3">
      <c r="A13" s="2">
        <v>1012</v>
      </c>
      <c r="B13" s="3">
        <v>45669</v>
      </c>
      <c r="C13" s="2" t="s">
        <v>9</v>
      </c>
      <c r="D13" s="2" t="s">
        <v>11</v>
      </c>
      <c r="E13" s="2" t="s">
        <v>19</v>
      </c>
      <c r="F13" s="2">
        <v>2</v>
      </c>
      <c r="G13" s="2">
        <v>20000</v>
      </c>
      <c r="H13" s="2">
        <f t="shared" si="0"/>
        <v>40000</v>
      </c>
    </row>
    <row r="16" spans="1:8" ht="18" x14ac:dyDescent="0.35">
      <c r="C16" s="7" t="s">
        <v>23</v>
      </c>
      <c r="D16" s="8"/>
      <c r="E16" s="8"/>
      <c r="F16" s="8"/>
      <c r="G16" s="8"/>
    </row>
    <row r="17" spans="3:7" x14ac:dyDescent="0.3">
      <c r="C17" s="8" t="s">
        <v>24</v>
      </c>
      <c r="D17" s="8"/>
      <c r="E17" s="8"/>
      <c r="F17" s="8">
        <f>SUM(H2:H13)</f>
        <v>415000</v>
      </c>
      <c r="G17" s="8"/>
    </row>
    <row r="18" spans="3:7" x14ac:dyDescent="0.3">
      <c r="C18" s="8" t="s">
        <v>25</v>
      </c>
      <c r="D18" s="8"/>
      <c r="E18" s="8"/>
      <c r="F18" s="8">
        <f>COUNT(A2:A13)</f>
        <v>12</v>
      </c>
      <c r="G18" s="8"/>
    </row>
    <row r="19" spans="3:7" x14ac:dyDescent="0.3">
      <c r="C19" s="8" t="s">
        <v>26</v>
      </c>
      <c r="D19" s="8"/>
      <c r="E19" s="8"/>
      <c r="F19" s="8">
        <f>SUM(F2:F13)</f>
        <v>31</v>
      </c>
      <c r="G19" s="8"/>
    </row>
  </sheetData>
  <mergeCells count="7">
    <mergeCell ref="C16:G16"/>
    <mergeCell ref="C17:E17"/>
    <mergeCell ref="C18:E18"/>
    <mergeCell ref="C19:E19"/>
    <mergeCell ref="F17:G17"/>
    <mergeCell ref="F18:G18"/>
    <mergeCell ref="F19:G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C7D6-AA3D-4D61-A8B1-20578866D3F6}">
  <dimension ref="A1:H13"/>
  <sheetViews>
    <sheetView tabSelected="1" workbookViewId="0">
      <selection activeCell="D20" sqref="D20"/>
    </sheetView>
  </sheetViews>
  <sheetFormatPr defaultRowHeight="14.4" x14ac:dyDescent="0.3"/>
  <cols>
    <col min="3" max="3" width="8.88671875" customWidth="1"/>
  </cols>
  <sheetData>
    <row r="1" spans="1:8" ht="21" x14ac:dyDescent="0.4">
      <c r="A1" s="10" t="s">
        <v>32</v>
      </c>
      <c r="B1" s="9"/>
      <c r="C1" s="9"/>
      <c r="D1" s="9"/>
      <c r="E1" s="9"/>
      <c r="F1" s="9"/>
      <c r="G1" s="9"/>
      <c r="H1" s="9"/>
    </row>
    <row r="3" spans="1:8" x14ac:dyDescent="0.3">
      <c r="A3" s="11" t="s">
        <v>33</v>
      </c>
      <c r="B3" s="11"/>
      <c r="C3" s="11"/>
      <c r="D3" s="11" t="s">
        <v>34</v>
      </c>
      <c r="E3" s="11"/>
      <c r="F3" s="11"/>
      <c r="G3" s="11"/>
      <c r="H3" s="11"/>
    </row>
    <row r="4" spans="1:8" x14ac:dyDescent="0.3">
      <c r="A4" s="12" t="s">
        <v>35</v>
      </c>
      <c r="B4" s="12"/>
      <c r="C4" s="12"/>
      <c r="D4" s="8" t="s">
        <v>40</v>
      </c>
      <c r="E4" s="8"/>
      <c r="F4" s="8"/>
      <c r="G4" s="8"/>
      <c r="H4" s="8"/>
    </row>
    <row r="5" spans="1:8" x14ac:dyDescent="0.3">
      <c r="A5" s="12" t="s">
        <v>36</v>
      </c>
      <c r="B5" s="12"/>
      <c r="C5" s="12"/>
      <c r="D5" s="8" t="s">
        <v>41</v>
      </c>
      <c r="E5" s="8"/>
      <c r="F5" s="8"/>
      <c r="G5" s="8"/>
      <c r="H5" s="8"/>
    </row>
    <row r="6" spans="1:8" x14ac:dyDescent="0.3">
      <c r="A6" s="12" t="s">
        <v>37</v>
      </c>
      <c r="B6" s="12"/>
      <c r="C6" s="12"/>
      <c r="D6" s="8" t="s">
        <v>42</v>
      </c>
      <c r="E6" s="8"/>
      <c r="F6" s="8"/>
      <c r="G6" s="8"/>
      <c r="H6" s="8"/>
    </row>
    <row r="7" spans="1:8" x14ac:dyDescent="0.3">
      <c r="A7" s="12" t="s">
        <v>38</v>
      </c>
      <c r="B7" s="12"/>
      <c r="C7" s="12"/>
      <c r="D7" s="8" t="s">
        <v>43</v>
      </c>
      <c r="E7" s="8"/>
      <c r="F7" s="8"/>
      <c r="G7" s="8"/>
      <c r="H7" s="8"/>
    </row>
    <row r="8" spans="1:8" x14ac:dyDescent="0.3">
      <c r="A8" s="12" t="s">
        <v>39</v>
      </c>
      <c r="B8" s="12"/>
      <c r="C8" s="12"/>
      <c r="D8" s="8" t="s">
        <v>44</v>
      </c>
      <c r="E8" s="8"/>
      <c r="F8" s="8"/>
      <c r="G8" s="8"/>
      <c r="H8" s="8"/>
    </row>
    <row r="10" spans="1:8" ht="21" x14ac:dyDescent="0.4">
      <c r="A10" s="13" t="s">
        <v>45</v>
      </c>
      <c r="B10" s="8"/>
      <c r="C10" s="8"/>
      <c r="D10" s="8"/>
      <c r="E10" s="8"/>
      <c r="F10" s="8"/>
      <c r="G10" s="8"/>
      <c r="H10" s="8"/>
    </row>
    <row r="11" spans="1:8" x14ac:dyDescent="0.3">
      <c r="A11" s="12" t="s">
        <v>46</v>
      </c>
      <c r="B11" s="12"/>
      <c r="C11" s="12"/>
      <c r="D11" s="12"/>
      <c r="E11" s="12"/>
      <c r="F11" s="12"/>
      <c r="G11" s="12"/>
      <c r="H11" s="12"/>
    </row>
    <row r="12" spans="1:8" x14ac:dyDescent="0.3">
      <c r="A12" s="12" t="s">
        <v>47</v>
      </c>
      <c r="B12" s="12"/>
      <c r="C12" s="12"/>
      <c r="D12" s="12"/>
      <c r="E12" s="12"/>
      <c r="F12" s="12"/>
      <c r="G12" s="12"/>
      <c r="H12" s="12"/>
    </row>
    <row r="13" spans="1:8" x14ac:dyDescent="0.3">
      <c r="A13" s="12" t="s">
        <v>48</v>
      </c>
      <c r="B13" s="12"/>
      <c r="C13" s="12"/>
      <c r="D13" s="12"/>
      <c r="E13" s="12"/>
      <c r="F13" s="12"/>
      <c r="G13" s="12"/>
      <c r="H13" s="12"/>
    </row>
  </sheetData>
  <mergeCells count="17">
    <mergeCell ref="A10:H10"/>
    <mergeCell ref="A12:H12"/>
    <mergeCell ref="A13:H13"/>
    <mergeCell ref="A11:H11"/>
    <mergeCell ref="A7:C7"/>
    <mergeCell ref="A8:C8"/>
    <mergeCell ref="D4:H4"/>
    <mergeCell ref="D5:H5"/>
    <mergeCell ref="D6:H6"/>
    <mergeCell ref="D7:H7"/>
    <mergeCell ref="D8:H8"/>
    <mergeCell ref="A1:H1"/>
    <mergeCell ref="A3:C3"/>
    <mergeCell ref="D3:H3"/>
    <mergeCell ref="A4:C4"/>
    <mergeCell ref="A5:C5"/>
    <mergeCell ref="A6:C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0013F5A9BC3A4CB32E870EE9784523" ma:contentTypeVersion="4" ma:contentTypeDescription="Create a new document." ma:contentTypeScope="" ma:versionID="207580c40c184b380e0261653c43d969">
  <xsd:schema xmlns:xsd="http://www.w3.org/2001/XMLSchema" xmlns:xs="http://www.w3.org/2001/XMLSchema" xmlns:p="http://schemas.microsoft.com/office/2006/metadata/properties" xmlns:ns3="10260ce4-cdaf-4108-9343-32bc6789a17e" targetNamespace="http://schemas.microsoft.com/office/2006/metadata/properties" ma:root="true" ma:fieldsID="caadb121972b8d37743b6ad8895a4481" ns3:_="">
    <xsd:import namespace="10260ce4-cdaf-4108-9343-32bc6789a17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60ce4-cdaf-4108-9343-32bc6789a17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9F5C42-608A-42DE-9370-4290C921B5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BF5D53-6D26-4C27-BE66-1451997D5E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260ce4-cdaf-4108-9343-32bc6789a1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496250-B861-409D-8E8C-F0CFBE7A651D}">
  <ds:schemaRefs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www.w3.org/XML/1998/namespace"/>
    <ds:schemaRef ds:uri="10260ce4-cdaf-4108-9343-32bc6789a1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Sheet1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24B11DS134</dc:creator>
  <cp:lastModifiedBy>24B11DS134</cp:lastModifiedBy>
  <dcterms:created xsi:type="dcterms:W3CDTF">2026-03-13T09:46:29Z</dcterms:created>
  <dcterms:modified xsi:type="dcterms:W3CDTF">2026-03-13T23:56:58Z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0x010100420013F5A9BC3A4CB32E870EE9784523</vt:lpwstr>
  </property>
</Properties>
</file>